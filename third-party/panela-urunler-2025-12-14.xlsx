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45.83203125" customWidth="1"/>
    <col min="2" max="2" width="60.83203125" customWidth="1"/>
    <col min="3" max="3" width="75.83203125" customWidth="1"/>
    <col min="4" max="4" width="22.83203125" customWidth="1"/>
    <col min="5" max="5" width="22.83203125" customWidth="1"/>
    <col min="6" max="6" width="20.83203125" customWidth="1"/>
  </cols>
  <sheetData>
    <row r="1">
      <c r="A1" t="str">
        <v>Adı</v>
      </c>
      <c r="B1" t="str">
        <v>Satış Sayfası</v>
      </c>
      <c r="C1" t="str">
        <v>Meta Linki</v>
      </c>
      <c r="D1" t="str">
        <v>Reklam Sayısı</v>
      </c>
      <c r="E1" t="str">
        <v>Ürün Fiyatı</v>
      </c>
      <c r="F1" t="str">
        <v>Eklenme Tarihi</v>
      </c>
    </row>
    <row r="2">
      <c r="A2" t="str">
        <v>Healifeco Ionic Foot Spa</v>
      </c>
      <c r="B2" t="str">
        <v/>
      </c>
      <c r="C2">
        <f>HYPERLINK("https://www.facebook.com/ads/library/?id=1843432036564002","Healifeco Ionic Foot Spa")</f>
      </c>
      <c r="D2">
        <v>190</v>
      </c>
      <c r="E2" t="str">
        <v/>
      </c>
      <c r="F2" t="str">
        <v>14.12.2025 13:35</v>
      </c>
    </row>
    <row r="3">
      <c r="A3" t="str">
        <v>Smart Knee Brace</v>
      </c>
      <c r="B3" t="str">
        <v/>
      </c>
      <c r="C3">
        <f>HYPERLINK("https://www.facebook.com/ads/library/?active_status=active&amp;ad_type=all&amp;country=CA&amp;is_targeted_country=false&amp;media_type=all&amp;search_type=page&amp;view_all_page_id=563955850132113","Smart Knee Brace")</f>
      </c>
      <c r="D3">
        <v>93</v>
      </c>
      <c r="E3" t="str">
        <v/>
      </c>
      <c r="F3" t="str">
        <v>14.12.2025 12:54</v>
      </c>
    </row>
    <row r="4">
      <c r="A4" t="str">
        <v>Basketball Starter Bundle Kit</v>
      </c>
      <c r="B4" t="str">
        <v/>
      </c>
      <c r="C4">
        <f>HYPERLINK("https://www.facebook.com/ads/library/?id=829671939893646","Basketball Starter Bundle Kit")</f>
      </c>
      <c r="D4">
        <v>130</v>
      </c>
      <c r="E4" t="str">
        <v/>
      </c>
      <c r="F4" t="str">
        <v>14.12.2025 01:47</v>
      </c>
    </row>
    <row r="5">
      <c r="A5" t="str">
        <v>Couch Covers</v>
      </c>
      <c r="B5" t="str">
        <v/>
      </c>
      <c r="C5">
        <f>HYPERLINK("https://www.facebook.com/ads/library/?id=1570905627374679","Couch Covers")</f>
      </c>
      <c r="D5">
        <v>81</v>
      </c>
      <c r="E5" t="str">
        <v/>
      </c>
      <c r="F5" t="str">
        <v>13.12.2025 15:48</v>
      </c>
    </row>
    <row r="6">
      <c r="A6" t="str">
        <v>Sunshade Ice Cover</v>
      </c>
      <c r="B6" t="str">
        <v/>
      </c>
      <c r="C6">
        <f>HYPERLINK("https://www.facebook.com/ads/library/?active_status=active&amp;ad_type=all&amp;country=CA&amp;is_targeted_country=false&amp;media_type=all&amp;q=sold%20out&amp;search_type=keyword_unordered","Sunshade Ice Cover")</f>
      </c>
      <c r="D6">
        <v>100</v>
      </c>
      <c r="E6" t="str">
        <v/>
      </c>
      <c r="F6" t="str">
        <v>13.12.2025 15:07</v>
      </c>
    </row>
    <row r="7">
      <c r="A7" t="str">
        <v>PuppyPad</v>
      </c>
      <c r="B7">
        <f>HYPERLINK("https://www.amazon.com.tr/YUNXANIW-kullan%C4%B1labilir-y%C4%B1kanabilir-ge%C3%A7irmez-GDZ-1/dp/B0B5VJ3D52?source=ps-sl-shoppingads-lpcontext&amp;ref_=fplfs&amp;smid=A3J0ZCDE1U9T7H&amp;utm_source=chatgpt.com&amp;th=1","PuppyPad")</f>
      </c>
      <c r="C7">
        <f>HYPERLINK("https://www.facebook.com/ads/library/?active_status=active&amp;ad_type=all&amp;country=US&amp;is_targeted_country=false&amp;media_type=all&amp;search_type=page&amp;start_date[min]=2025-12-01&amp;start_date[max]&amp;view_all_page_id=878469495345764","PuppyPad")</f>
      </c>
      <c r="D7">
        <v>190</v>
      </c>
      <c r="E7" t="str">
        <v/>
      </c>
      <c r="F7" t="str">
        <v>13.12.2025 11:44</v>
      </c>
    </row>
    <row r="8">
      <c r="A8" t="str">
        <v>BuildiBlox</v>
      </c>
      <c r="B8" t="str">
        <v/>
      </c>
      <c r="C8">
        <f>HYPERLINK("https://www.facebook.com/ads/library/?active_status=active&amp;ad_type=all&amp;country=US&amp;is_targeted_country=false&amp;media_type=all&amp;q=BuildiBlox&amp;search_type=keyword_unordered","BuildiBlox")</f>
      </c>
      <c r="D8">
        <v>240</v>
      </c>
      <c r="E8" t="str">
        <v/>
      </c>
      <c r="F8" t="str">
        <v>13.12.2025 11:15</v>
      </c>
    </row>
    <row r="9">
      <c r="A9" t="str">
        <v>Pure Flax Linen</v>
      </c>
      <c r="B9">
        <f>HYPERLINK("https://www.trendyol.com/pirilti-collection/cift-kisilik-keten-nevresim-takimi-100-yikanmis-fransiz-keten-p-921219474?boutiqueId=61&amp;merchantId=165052","Pure Flax Linen")</f>
      </c>
      <c r="C9">
        <f>HYPERLINK("https://www.facebook.com/ads/library/?active_status=active&amp;ad_type=all&amp;country=US&amp;is_targeted_country=false&amp;media_type=all&amp;q=%20pure%20flax%20linen&amp;search_type=keyword_unordered&amp;start_date[min]=2025-12-01&amp;start_date[max]","Pure Flax Linen")</f>
      </c>
      <c r="D9">
        <v>830</v>
      </c>
      <c r="E9" t="str">
        <v/>
      </c>
      <c r="F9" t="str">
        <v>13.12.2025 10:58</v>
      </c>
    </row>
    <row r="10">
      <c r="A10" t="str">
        <v>LED Board Unleashes</v>
      </c>
      <c r="B10" t="str">
        <v/>
      </c>
      <c r="C10">
        <f>HYPERLINK("https://www.facebook.com/ads/library/?active_status=active&amp;ad_type=all&amp;country=US&amp;is_targeted_country=false&amp;media_type=all&amp;q=LED%20Board%20Unleashes&amp;search_type=keyword_unordered&amp;source=fb-logo","LED Board Unleashes")</f>
      </c>
      <c r="D10">
        <v>320</v>
      </c>
      <c r="E10" t="str">
        <v/>
      </c>
      <c r="F10" t="str">
        <v>12.12.2025 17:04</v>
      </c>
    </row>
    <row r="11">
      <c r="A11" t="str">
        <v>Massage Insoles</v>
      </c>
      <c r="B11">
        <f>HYPERLINK("https://www.amazon.com.tr/Haf%C4%B1zal%C4%B1-tabanl%C4%B1k-destekli-ortopedik-tabanl%C4%B1%C4%9F%C4%B1/dp/B0DNMMSJB3?th=1","Massage Insoles")</f>
      </c>
      <c r="C11">
        <f>HYPERLINK("https://www.facebook.com/ads/library/?active_status=active&amp;ad_type=all&amp;country=AU&amp;is_targeted_country=false&amp;media_type=all&amp;q=massage%20insoles&amp;search_type=keyword_unordered&amp;start_date[min]=2025-12-01&amp;start_date[max]","Massage Insoles")</f>
      </c>
      <c r="D11">
        <v>540</v>
      </c>
      <c r="E11" t="str">
        <v/>
      </c>
      <c r="F11" t="str">
        <v>11.12.2025 18:14</v>
      </c>
    </row>
    <row r="12">
      <c r="A12" t="str">
        <v>The Photo Stick Omni</v>
      </c>
      <c r="B12" t="str">
        <v/>
      </c>
      <c r="C12">
        <f>HYPERLINK("https://www.facebook.com/ads/library/?active_status=active&amp;ad_type=all&amp;country=NZ&amp;is_targeted_country=false&amp;media_type=all&amp;q=The%20Photo%20Stick%20Omni&amp;search_type=keyword_unordered","The Photo Stick Omni")</f>
      </c>
      <c r="D12">
        <v>57</v>
      </c>
      <c r="E12" t="str">
        <v/>
      </c>
      <c r="F12" t="str">
        <v>11.12.2025 13:07</v>
      </c>
    </row>
    <row r="13">
      <c r="A13" t="str">
        <v>Glowco Kids Sleep Gummies</v>
      </c>
      <c r="B13" t="str">
        <v/>
      </c>
      <c r="C13">
        <f>HYPERLINK("https://www.facebook.com/ads/library/?id=1346672796605769","Glowco Kids Sleep Gummies")</f>
      </c>
      <c r="D13">
        <v>39</v>
      </c>
      <c r="E13" t="str">
        <v/>
      </c>
      <c r="F13" t="str">
        <v>11.12.2025 11:35</v>
      </c>
    </row>
    <row r="14">
      <c r="A14" t="str">
        <v>Ersa Nails ProTouch Kit</v>
      </c>
      <c r="B14" t="str">
        <v/>
      </c>
      <c r="C14">
        <f>HYPERLINK("https://www.facebook.com/ads/library/?id=1376578633926269","Ersa Nails ProTouch Kit")</f>
      </c>
      <c r="D14">
        <v>26</v>
      </c>
      <c r="E14" t="str">
        <v/>
      </c>
      <c r="F14" t="str">
        <v>11.12.2025 11:14</v>
      </c>
    </row>
    <row r="15">
      <c r="A15" t="str">
        <v>Amazing Hair Saviour</v>
      </c>
      <c r="B15" t="str">
        <v/>
      </c>
      <c r="C15">
        <f>HYPERLINK("https://www.facebook.com/ads/library/?id=1335346208606524","Amazing Hair Saviour")</f>
      </c>
      <c r="D15">
        <v>39</v>
      </c>
      <c r="E15" t="str">
        <v/>
      </c>
      <c r="F15" t="str">
        <v>11.12.2025 10:58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